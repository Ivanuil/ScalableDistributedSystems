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ivo-p\Desktop\"/>
    </mc:Choice>
  </mc:AlternateContent>
  <xr:revisionPtr revIDLastSave="0" documentId="13_ncr:1_{5B4F18C4-7E7F-4F90-8C27-967E25B30700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2" i="1"/>
  <c r="E2" i="1"/>
  <c r="D2" i="1"/>
  <c r="C2" i="1"/>
  <c r="B2" i="1"/>
</calcChain>
</file>

<file path=xl/sharedStrings.xml><?xml version="1.0" encoding="utf-8"?>
<sst xmlns="http://schemas.openxmlformats.org/spreadsheetml/2006/main" count="3" uniqueCount="3">
  <si>
    <t>Connection pool size</t>
  </si>
  <si>
    <t>Throughput</t>
  </si>
  <si>
    <t>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</si>
</sst>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Throughput/Latency</a:t>
            </a:r>
            <a:r>
              <a:rPr lang="en-US" baseline="0"/>
              <a:t> from DB Pool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Лист1!$A$3</c:f>
              <c:strCache>
                <c:ptCount val="1"/>
                <c:pt idx="0">
                  <c:v>Latency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Лист1!$B$1:$G$1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</c:numCache>
            </c:numRef>
          </c:xVal>
          <c:yVal>
            <c:numRef>
              <c:f>Лист1!$B$3:$G$3</c:f>
              <c:numCache>
                <c:formatCode>General</c:formatCode>
                <c:ptCount val="6"/>
                <c:pt idx="0">
                  <c:v>7.71</c:v>
                </c:pt>
                <c:pt idx="1">
                  <c:v>5.74</c:v>
                </c:pt>
                <c:pt idx="2">
                  <c:v>5.61</c:v>
                </c:pt>
                <c:pt idx="3">
                  <c:v>5.78</c:v>
                </c:pt>
                <c:pt idx="4">
                  <c:v>5.72</c:v>
                </c:pt>
                <c:pt idx="5">
                  <c:v>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A6-423F-9B7B-214D8C934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87600"/>
        <c:axId val="155385680"/>
      </c:scatterChart>
      <c:scatterChart>
        <c:scatterStyle val="lineMarker"/>
        <c:varyColors val="0"/>
        <c:ser>
          <c:idx val="0"/>
          <c:order val="0"/>
          <c:tx>
            <c:strRef>
              <c:f>Лист1!$A$2</c:f>
              <c:strCache>
                <c:ptCount val="1"/>
                <c:pt idx="0">
                  <c:v>Throughput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Лист1!$B$1:$G$1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</c:numCache>
            </c:numRef>
          </c:xVal>
          <c:yVal>
            <c:numRef>
              <c:f>Лист1!$B$2:$G$2</c:f>
              <c:numCache>
                <c:formatCode>General</c:formatCode>
                <c:ptCount val="6"/>
                <c:pt idx="0">
                  <c:v>164.4</c:v>
                </c:pt>
                <c:pt idx="1">
                  <c:v>168.2</c:v>
                </c:pt>
                <c:pt idx="2">
                  <c:v>195.4</c:v>
                </c:pt>
                <c:pt idx="3">
                  <c:v>210</c:v>
                </c:pt>
                <c:pt idx="4">
                  <c:v>216</c:v>
                </c:pt>
                <c:pt idx="5">
                  <c:v>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A6-423F-9B7B-214D8C934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84720"/>
        <c:axId val="155391440"/>
      </c:scatterChart>
      <c:valAx>
        <c:axId val="15538760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DB Pool</a:t>
                </a:r>
                <a:r>
                  <a:rPr lang="en-US" baseline="0"/>
                  <a:t>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385680"/>
        <c:crosses val="autoZero"/>
        <c:crossBetween val="midCat"/>
      </c:valAx>
      <c:valAx>
        <c:axId val="15538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387600"/>
        <c:crosses val="autoZero"/>
        <c:crossBetween val="midCat"/>
      </c:valAx>
      <c:valAx>
        <c:axId val="1553914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384720"/>
        <c:crosses val="max"/>
        <c:crossBetween val="midCat"/>
      </c:valAx>
      <c:valAx>
        <c:axId val="15538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39144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225425</xdr:colOff>
      <xdr:row>8</xdr:row>
      <xdr:rowOff>31750</xdr:rowOff>
    </xdr:from>
    <xdr:to>
      <xdr:col>13</xdr:col>
      <xdr:colOff>530225</xdr:colOff>
      <xdr:row>23</xdr:row>
      <xdr:rowOff>12700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8A77F52-5B31-DDBD-9CB1-5773D765C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7" sqref="G7"/>
    </sheetView>
  </sheetViews>
  <sheetFormatPr defaultRowHeight="14.5" x14ac:dyDescent="0.35"/>
  <cols>
    <col min="1" max="1" width="19" customWidth="1"/>
  </cols>
  <sheetData>
    <row r="1" spans="1:7" x14ac:dyDescent="0.35">
      <c r="A1" t="s">
        <v>0</v>
      </c>
      <c r="B1">
        <v>1</v>
      </c>
      <c r="C1">
        <v>3</v>
      </c>
      <c r="D1">
        <v>5</v>
      </c>
      <c r="E1">
        <v>10</v>
      </c>
      <c r="F1">
        <v>20</v>
      </c>
      <c r="G1">
        <v>50</v>
      </c>
    </row>
    <row r="2" spans="1:7" x14ac:dyDescent="0.35">
      <c r="A2" t="s">
        <v>1</v>
      </c>
      <c r="B2">
        <f>82.2*2</f>
        <v>164.4</v>
      </c>
      <c r="C2">
        <f>84.1*2</f>
        <v>168.2</v>
      </c>
      <c r="D2">
        <f>97.7*2</f>
        <v>195.4</v>
      </c>
      <c r="E2">
        <f>105*2</f>
        <v>210</v>
      </c>
      <c r="F2">
        <f>108*2</f>
        <v>216</v>
      </c>
      <c r="G2">
        <f>106*2</f>
        <v>212</v>
      </c>
    </row>
    <row r="3" spans="1:7" x14ac:dyDescent="0.35">
      <c r="A3" t="s">
        <v>2</v>
      </c>
      <c r="B3">
        <v>7.71</v>
      </c>
      <c r="C3">
        <v>5.74</v>
      </c>
      <c r="D3">
        <v>5.61</v>
      </c>
      <c r="E3">
        <v>5.78</v>
      </c>
      <c r="F3">
        <v>5.72</v>
      </c>
      <c r="G3">
        <v>5.63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Пронин</dc:creator>
  <cp:lastModifiedBy>Иван Пронин</cp:lastModifiedBy>
  <dcterms:created xsi:type="dcterms:W3CDTF">2015-06-05T18:19:34Z</dcterms:created>
  <dcterms:modified xsi:type="dcterms:W3CDTF">2025-05-17T15:50:16Z</dcterms:modified>
</cp:coreProperties>
</file>