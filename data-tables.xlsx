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ivo-p\Desktop\"/>
    </mc:Choice>
  </mc:AlternateContent>
  <xr:revisionPtr revIDLastSave="0" documentId="13_ncr:1_{3F143AE5-47CF-46CC-9CCA-0A6A2E2359BC}" xr6:coauthVersionLast="47" xr6:coauthVersionMax="47" xr10:uidLastSave="{00000000-0000-0000-0000-000000000000}"/>
  <bookViews>
    <workbookView xWindow="-110" yWindow="-110" windowWidth="22620" windowHeight="13620" activeTab="2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2" i="3" s="1"/>
  <c r="D3" i="3"/>
  <c r="C3" i="3" s="1"/>
  <c r="D7" i="3"/>
  <c r="C7" i="3" s="1"/>
  <c r="D6" i="3"/>
  <c r="C6" i="3" s="1"/>
  <c r="D5" i="3"/>
  <c r="C5" i="3" s="1"/>
  <c r="D4" i="3"/>
  <c r="C4" i="3" s="1"/>
</calcChain>
</file>

<file path=xl/sharedStrings.xml><?xml version="1.0" encoding="utf-8"?>
<sst xmlns="http://schemas.openxmlformats.org/spreadsheetml/2006/main" count="7" uniqueCount="6">
  <si>
    <t>Threads</t>
  </si>
  <si>
    <t>Shards</t>
  </si>
  <si>
    <t>Throughput</t>
  </si>
  <si>
    <t>Balance</t>
  </si>
  <si>
    <t>Withdrawal</t>
  </si>
  <si>
    <t>Balance/(Balance+Operation)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</si>
</sst>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95%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Лист1!$A$2:$A$50</c:f>
              <c:numCache>
                <c:formatCode>General</c:formatCode>
                <c:ptCount val="49"/>
                <c:pt idx="8">
                  <c:v>1</c:v>
                </c:pt>
                <c:pt idx="9">
                  <c:v>5</c:v>
                </c:pt>
                <c:pt idx="10">
                  <c:v>10</c:v>
                </c:pt>
                <c:pt idx="11">
                  <c:v>20</c:v>
                </c:pt>
              </c:numCache>
            </c:numRef>
          </c:xVal>
          <c:yVal>
            <c:numRef>
              <c:f>Лист1!$B$2:$B$50</c:f>
              <c:numCache>
                <c:formatCode>General</c:formatCode>
                <c:ptCount val="49"/>
                <c:pt idx="8" formatCode="0.00">
                  <c:v>18.7</c:v>
                </c:pt>
                <c:pt idx="9">
                  <c:v>22.1</c:v>
                </c:pt>
                <c:pt idx="10">
                  <c:v>22</c:v>
                </c:pt>
                <c:pt idx="11">
                  <c:v>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69-4426-B2DB-D4E379E8877B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90%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Лист1!$A$2:$A$50</c:f>
              <c:numCache>
                <c:formatCode>General</c:formatCode>
                <c:ptCount val="49"/>
                <c:pt idx="8">
                  <c:v>1</c:v>
                </c:pt>
                <c:pt idx="9">
                  <c:v>5</c:v>
                </c:pt>
                <c:pt idx="10">
                  <c:v>10</c:v>
                </c:pt>
                <c:pt idx="11">
                  <c:v>20</c:v>
                </c:pt>
              </c:numCache>
            </c:numRef>
          </c:xVal>
          <c:yVal>
            <c:numRef>
              <c:f>Лист1!$C$2:$C$50</c:f>
              <c:numCache>
                <c:formatCode>General</c:formatCode>
                <c:ptCount val="49"/>
                <c:pt idx="8">
                  <c:v>13.1</c:v>
                </c:pt>
                <c:pt idx="9">
                  <c:v>18.100000000000001</c:v>
                </c:pt>
                <c:pt idx="10">
                  <c:v>18</c:v>
                </c:pt>
                <c:pt idx="11">
                  <c:v>17.8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69-4426-B2DB-D4E379E8877B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75%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Лист1!$A$2:$A$50</c:f>
              <c:numCache>
                <c:formatCode>General</c:formatCode>
                <c:ptCount val="49"/>
                <c:pt idx="8">
                  <c:v>1</c:v>
                </c:pt>
                <c:pt idx="9">
                  <c:v>5</c:v>
                </c:pt>
                <c:pt idx="10">
                  <c:v>10</c:v>
                </c:pt>
                <c:pt idx="11">
                  <c:v>20</c:v>
                </c:pt>
              </c:numCache>
            </c:numRef>
          </c:xVal>
          <c:yVal>
            <c:numRef>
              <c:f>Лист1!$D$2:$D$50</c:f>
              <c:numCache>
                <c:formatCode>General</c:formatCode>
                <c:ptCount val="49"/>
                <c:pt idx="8">
                  <c:v>8.4700000000000006</c:v>
                </c:pt>
                <c:pt idx="9">
                  <c:v>12.5</c:v>
                </c:pt>
                <c:pt idx="10">
                  <c:v>12.5</c:v>
                </c:pt>
                <c:pt idx="11">
                  <c:v>11.3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69-4426-B2DB-D4E379E8877B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50%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Лист1!$A$2:$A$50</c:f>
              <c:numCache>
                <c:formatCode>General</c:formatCode>
                <c:ptCount val="49"/>
                <c:pt idx="8">
                  <c:v>1</c:v>
                </c:pt>
                <c:pt idx="9">
                  <c:v>5</c:v>
                </c:pt>
                <c:pt idx="10">
                  <c:v>10</c:v>
                </c:pt>
                <c:pt idx="11">
                  <c:v>20</c:v>
                </c:pt>
              </c:numCache>
            </c:numRef>
          </c:xVal>
          <c:yVal>
            <c:numRef>
              <c:f>Лист1!$E$2:$E$50</c:f>
              <c:numCache>
                <c:formatCode>General</c:formatCode>
                <c:ptCount val="49"/>
                <c:pt idx="8">
                  <c:v>5.32</c:v>
                </c:pt>
                <c:pt idx="9">
                  <c:v>7.07</c:v>
                </c:pt>
                <c:pt idx="10">
                  <c:v>7.08</c:v>
                </c:pt>
                <c:pt idx="11">
                  <c:v>6.34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69-4426-B2DB-D4E379E88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594192"/>
        <c:axId val="1080587472"/>
      </c:scatterChart>
      <c:valAx>
        <c:axId val="10805941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0587472"/>
        <c:crosses val="autoZero"/>
        <c:crossBetween val="midCat"/>
      </c:valAx>
      <c:valAx>
        <c:axId val="108058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0.143105497229512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059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Response time of 50%, 75%, 90%, 95% of requests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95%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Лист2!$B$2:$B$5</c:f>
              <c:numCache>
                <c:formatCode>General</c:formatCode>
                <c:ptCount val="4"/>
                <c:pt idx="0">
                  <c:v>27.8</c:v>
                </c:pt>
                <c:pt idx="1">
                  <c:v>22.2</c:v>
                </c:pt>
                <c:pt idx="2">
                  <c:v>21.7</c:v>
                </c:pt>
                <c:pt idx="3">
                  <c:v>22.4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3-409F-B15A-EE68B111C156}"/>
            </c:ext>
          </c:extLst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90%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Лист2!$C$2:$C$5</c:f>
              <c:numCache>
                <c:formatCode>General</c:formatCode>
                <c:ptCount val="4"/>
                <c:pt idx="0">
                  <c:v>17.8</c:v>
                </c:pt>
                <c:pt idx="1">
                  <c:v>12.5</c:v>
                </c:pt>
                <c:pt idx="2">
                  <c:v>11.3</c:v>
                </c:pt>
                <c:pt idx="3">
                  <c:v>9.31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E3-409F-B15A-EE68B111C156}"/>
            </c:ext>
          </c:extLst>
        </c:ser>
        <c:ser>
          <c:idx val="2"/>
          <c:order val="2"/>
          <c:tx>
            <c:strRef>
              <c:f>Лист2!$D$1</c:f>
              <c:strCache>
                <c:ptCount val="1"/>
                <c:pt idx="0">
                  <c:v>75%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Лист2!$D$2:$D$5</c:f>
              <c:numCache>
                <c:formatCode>General</c:formatCode>
                <c:ptCount val="4"/>
                <c:pt idx="0">
                  <c:v>5.91</c:v>
                </c:pt>
                <c:pt idx="1">
                  <c:v>4.96</c:v>
                </c:pt>
                <c:pt idx="2">
                  <c:v>5.0199999999999996</c:v>
                </c:pt>
                <c:pt idx="3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E3-409F-B15A-EE68B111C156}"/>
            </c:ext>
          </c:extLst>
        </c:ser>
        <c:ser>
          <c:idx val="3"/>
          <c:order val="3"/>
          <c:tx>
            <c:strRef>
              <c:f>Лист2!$E$1</c:f>
              <c:strCache>
                <c:ptCount val="1"/>
                <c:pt idx="0">
                  <c:v>50%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Лист2!$A$2:$A$5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Лист2!$E$2:$E$5</c:f>
              <c:numCache>
                <c:formatCode>General</c:formatCode>
                <c:ptCount val="4"/>
                <c:pt idx="0">
                  <c:v>3.91</c:v>
                </c:pt>
                <c:pt idx="1">
                  <c:v>2.91</c:v>
                </c:pt>
                <c:pt idx="2">
                  <c:v>3.78</c:v>
                </c:pt>
                <c:pt idx="3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E3-409F-B15A-EE68B111C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990704"/>
        <c:axId val="1080001264"/>
      </c:scatterChart>
      <c:valAx>
        <c:axId val="107999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shards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0001264"/>
        <c:crosses val="autoZero"/>
        <c:crossBetween val="midCat"/>
      </c:valAx>
      <c:valAx>
        <c:axId val="108000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3.3333333333333333E-2"/>
              <c:y val="0.22684383202099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999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Лист2!$G$1</c:f>
              <c:strCache>
                <c:ptCount val="1"/>
                <c:pt idx="0">
                  <c:v>Throughput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Лист2!$G$2:$G$5</c:f>
              <c:numCache>
                <c:formatCode>General</c:formatCode>
                <c:ptCount val="4"/>
                <c:pt idx="0">
                  <c:v>90</c:v>
                </c:pt>
                <c:pt idx="1">
                  <c:v>122</c:v>
                </c:pt>
                <c:pt idx="2">
                  <c:v>160</c:v>
                </c:pt>
                <c:pt idx="3">
                  <c:v>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C-4B54-A8AF-A0AA0EB75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027664"/>
        <c:axId val="1080028144"/>
      </c:scatterChart>
      <c:valAx>
        <c:axId val="108002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shards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0028144"/>
        <c:crosses val="autoZero"/>
        <c:crossBetween val="midCat"/>
      </c:valAx>
      <c:valAx>
        <c:axId val="1080028144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002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Response time of 50%, 75%, 90%, 95% of requests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Лист3!$E$1</c:f>
              <c:strCache>
                <c:ptCount val="1"/>
                <c:pt idx="0">
                  <c:v>95%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Лист3!$C$2:$C$50</c:f>
              <c:numCache>
                <c:formatCode>General</c:formatCode>
                <c:ptCount val="49"/>
                <c:pt idx="0">
                  <c:v>0.23333333333333334</c:v>
                </c:pt>
                <c:pt idx="1">
                  <c:v>0.3105590062111801</c:v>
                </c:pt>
                <c:pt idx="2">
                  <c:v>0.46534653465346537</c:v>
                </c:pt>
                <c:pt idx="3">
                  <c:v>0.63917525773195871</c:v>
                </c:pt>
                <c:pt idx="4">
                  <c:v>0.7407407407407407</c:v>
                </c:pt>
                <c:pt idx="5">
                  <c:v>0.95979899497487442</c:v>
                </c:pt>
              </c:numCache>
            </c:numRef>
          </c:xVal>
          <c:yVal>
            <c:numRef>
              <c:f>Лист3!$E$2:$E$50</c:f>
              <c:numCache>
                <c:formatCode>General</c:formatCode>
                <c:ptCount val="49"/>
                <c:pt idx="0">
                  <c:v>40.299999999999997</c:v>
                </c:pt>
                <c:pt idx="1">
                  <c:v>37.5</c:v>
                </c:pt>
                <c:pt idx="2">
                  <c:v>35.5</c:v>
                </c:pt>
                <c:pt idx="3">
                  <c:v>29</c:v>
                </c:pt>
                <c:pt idx="4">
                  <c:v>24.5</c:v>
                </c:pt>
                <c:pt idx="5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D2-439F-9801-FE9A91047EE7}"/>
            </c:ext>
          </c:extLst>
        </c:ser>
        <c:ser>
          <c:idx val="1"/>
          <c:order val="1"/>
          <c:tx>
            <c:strRef>
              <c:f>Лист3!$F$1</c:f>
              <c:strCache>
                <c:ptCount val="1"/>
                <c:pt idx="0">
                  <c:v>90%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Лист3!$C$2:$C$50</c:f>
              <c:numCache>
                <c:formatCode>General</c:formatCode>
                <c:ptCount val="49"/>
                <c:pt idx="0">
                  <c:v>0.23333333333333334</c:v>
                </c:pt>
                <c:pt idx="1">
                  <c:v>0.3105590062111801</c:v>
                </c:pt>
                <c:pt idx="2">
                  <c:v>0.46534653465346537</c:v>
                </c:pt>
                <c:pt idx="3">
                  <c:v>0.63917525773195871</c:v>
                </c:pt>
                <c:pt idx="4">
                  <c:v>0.7407407407407407</c:v>
                </c:pt>
                <c:pt idx="5">
                  <c:v>0.95979899497487442</c:v>
                </c:pt>
              </c:numCache>
            </c:numRef>
          </c:xVal>
          <c:yVal>
            <c:numRef>
              <c:f>Лист3!$F$2:$F$50</c:f>
              <c:numCache>
                <c:formatCode>General</c:formatCode>
                <c:ptCount val="49"/>
                <c:pt idx="0">
                  <c:v>33.4</c:v>
                </c:pt>
                <c:pt idx="1">
                  <c:v>31</c:v>
                </c:pt>
                <c:pt idx="2">
                  <c:v>28.6</c:v>
                </c:pt>
                <c:pt idx="3">
                  <c:v>23.4</c:v>
                </c:pt>
                <c:pt idx="4">
                  <c:v>18.2</c:v>
                </c:pt>
                <c:pt idx="5">
                  <c:v>10.9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D2-439F-9801-FE9A91047EE7}"/>
            </c:ext>
          </c:extLst>
        </c:ser>
        <c:ser>
          <c:idx val="2"/>
          <c:order val="2"/>
          <c:tx>
            <c:strRef>
              <c:f>Лист3!$G$1</c:f>
              <c:strCache>
                <c:ptCount val="1"/>
                <c:pt idx="0">
                  <c:v>75%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Лист3!$C$2:$C$50</c:f>
              <c:numCache>
                <c:formatCode>General</c:formatCode>
                <c:ptCount val="49"/>
                <c:pt idx="0">
                  <c:v>0.23333333333333334</c:v>
                </c:pt>
                <c:pt idx="1">
                  <c:v>0.3105590062111801</c:v>
                </c:pt>
                <c:pt idx="2">
                  <c:v>0.46534653465346537</c:v>
                </c:pt>
                <c:pt idx="3">
                  <c:v>0.63917525773195871</c:v>
                </c:pt>
                <c:pt idx="4">
                  <c:v>0.7407407407407407</c:v>
                </c:pt>
                <c:pt idx="5">
                  <c:v>0.95979899497487442</c:v>
                </c:pt>
              </c:numCache>
            </c:numRef>
          </c:xVal>
          <c:yVal>
            <c:numRef>
              <c:f>Лист3!$G$2:$G$50</c:f>
              <c:numCache>
                <c:formatCode>General</c:formatCode>
                <c:ptCount val="49"/>
                <c:pt idx="0">
                  <c:v>24.7</c:v>
                </c:pt>
                <c:pt idx="1">
                  <c:v>22</c:v>
                </c:pt>
                <c:pt idx="2">
                  <c:v>20.399999999999999</c:v>
                </c:pt>
                <c:pt idx="3">
                  <c:v>14.8</c:v>
                </c:pt>
                <c:pt idx="4">
                  <c:v>9.92</c:v>
                </c:pt>
                <c:pt idx="5">
                  <c:v>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D2-439F-9801-FE9A91047EE7}"/>
            </c:ext>
          </c:extLst>
        </c:ser>
        <c:ser>
          <c:idx val="3"/>
          <c:order val="3"/>
          <c:tx>
            <c:strRef>
              <c:f>Лист3!$H$1</c:f>
              <c:strCache>
                <c:ptCount val="1"/>
                <c:pt idx="0">
                  <c:v>50%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Лист3!$C$2:$C$50</c:f>
              <c:numCache>
                <c:formatCode>General</c:formatCode>
                <c:ptCount val="49"/>
                <c:pt idx="0">
                  <c:v>0.23333333333333334</c:v>
                </c:pt>
                <c:pt idx="1">
                  <c:v>0.3105590062111801</c:v>
                </c:pt>
                <c:pt idx="2">
                  <c:v>0.46534653465346537</c:v>
                </c:pt>
                <c:pt idx="3">
                  <c:v>0.63917525773195871</c:v>
                </c:pt>
                <c:pt idx="4">
                  <c:v>0.7407407407407407</c:v>
                </c:pt>
                <c:pt idx="5">
                  <c:v>0.95979899497487442</c:v>
                </c:pt>
              </c:numCache>
            </c:numRef>
          </c:xVal>
          <c:yVal>
            <c:numRef>
              <c:f>Лист3!$H$2:$H$50</c:f>
              <c:numCache>
                <c:formatCode>General</c:formatCode>
                <c:ptCount val="49"/>
                <c:pt idx="0">
                  <c:v>16.8</c:v>
                </c:pt>
                <c:pt idx="1">
                  <c:v>14.1</c:v>
                </c:pt>
                <c:pt idx="2">
                  <c:v>11.8</c:v>
                </c:pt>
                <c:pt idx="3">
                  <c:v>7.35</c:v>
                </c:pt>
                <c:pt idx="4">
                  <c:v>5.82</c:v>
                </c:pt>
                <c:pt idx="5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D2-439F-9801-FE9A91047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59984"/>
        <c:axId val="1929367664"/>
      </c:scatterChart>
      <c:valAx>
        <c:axId val="192935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Request count - Balance/(Balance+Operation)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9367664"/>
        <c:crosses val="autoZero"/>
        <c:crossBetween val="midCat"/>
      </c:valAx>
      <c:valAx>
        <c:axId val="19293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935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Лист3!$D$1</c:f>
              <c:strCache>
                <c:ptCount val="1"/>
                <c:pt idx="0">
                  <c:v>Throughput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Лист3!$C$2:$C$50</c:f>
              <c:numCache>
                <c:formatCode>General</c:formatCode>
                <c:ptCount val="49"/>
                <c:pt idx="0">
                  <c:v>0.23333333333333334</c:v>
                </c:pt>
                <c:pt idx="1">
                  <c:v>0.3105590062111801</c:v>
                </c:pt>
                <c:pt idx="2">
                  <c:v>0.46534653465346537</c:v>
                </c:pt>
                <c:pt idx="3">
                  <c:v>0.63917525773195871</c:v>
                </c:pt>
                <c:pt idx="4">
                  <c:v>0.7407407407407407</c:v>
                </c:pt>
                <c:pt idx="5">
                  <c:v>0.95979899497487442</c:v>
                </c:pt>
              </c:numCache>
            </c:numRef>
          </c:xVal>
          <c:yVal>
            <c:numRef>
              <c:f>Лист3!$D$2:$D$50</c:f>
              <c:numCache>
                <c:formatCode>General</c:formatCode>
                <c:ptCount val="49"/>
                <c:pt idx="0">
                  <c:v>150</c:v>
                </c:pt>
                <c:pt idx="1">
                  <c:v>161</c:v>
                </c:pt>
                <c:pt idx="2">
                  <c:v>202</c:v>
                </c:pt>
                <c:pt idx="3">
                  <c:v>194</c:v>
                </c:pt>
                <c:pt idx="4">
                  <c:v>189</c:v>
                </c:pt>
                <c:pt idx="5">
                  <c:v>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7D-42D8-8818-EBC74C76E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15344"/>
        <c:axId val="1929335024"/>
      </c:scatterChart>
      <c:valAx>
        <c:axId val="192931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Request count - Balance/(Balance+Operation)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9335024"/>
        <c:crosses val="autoZero"/>
        <c:crossBetween val="midCat"/>
      </c:valAx>
      <c:valAx>
        <c:axId val="192933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931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7</xdr:row>
      <xdr:rowOff>73025</xdr:rowOff>
    </xdr:from>
    <xdr:to>
      <xdr:col>15</xdr:col>
      <xdr:colOff>28575</xdr:colOff>
      <xdr:row>22</xdr:row>
      <xdr:rowOff>53975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44AEAEE-E4B9-CDD7-BBF1-17F73B90D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123824</xdr:colOff>
      <xdr:row>2</xdr:row>
      <xdr:rowOff>114300</xdr:rowOff>
    </xdr:from>
    <xdr:to>
      <xdr:col>19</xdr:col>
      <xdr:colOff>209549</xdr:colOff>
      <xdr:row>21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27D781F-1D95-D54D-65B2-3DE79D672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8</xdr:row>
      <xdr:rowOff>85725</xdr:rowOff>
    </xdr:from>
    <xdr:to>
      <xdr:col>9</xdr:col>
      <xdr:colOff>561975</xdr:colOff>
      <xdr:row>23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AFC66D8-4598-8EFC-CAD7-66C898ED8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5</xdr:row>
      <xdr:rowOff>165100</xdr:rowOff>
    </xdr:from>
    <xdr:to>
      <xdr:col>18</xdr:col>
      <xdr:colOff>161925</xdr:colOff>
      <xdr:row>25</xdr:row>
      <xdr:rowOff>82550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F1C25AC-E589-A404-28AD-39007F3FD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11</xdr:row>
      <xdr:rowOff>38100</xdr:rowOff>
    </xdr:from>
    <xdr:to>
      <xdr:col>8</xdr:col>
      <xdr:colOff>346075</xdr:colOff>
      <xdr:row>26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1CFEAEF-AA8B-9BE5-8E0C-19E5FF211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workbookViewId="0">
      <selection activeCell="B1" sqref="B1:E1"/>
    </sheetView>
  </sheetViews>
  <sheetFormatPr defaultRowHeight="14.5" x14ac:dyDescent="0.35"/>
  <sheetData>
    <row r="1" spans="1:20" x14ac:dyDescent="0.35">
      <c r="A1" t="s">
        <v>0</v>
      </c>
      <c r="B1" s="1">
        <v>0.95</v>
      </c>
      <c r="C1" s="1">
        <v>0.9</v>
      </c>
      <c r="D1" s="1">
        <v>0.75</v>
      </c>
      <c r="E1" s="1">
        <v>0.5</v>
      </c>
    </row>
    <row r="3" spans="1:20" x14ac:dyDescent="0.35">
      <c r="P3">
        <v>1</v>
      </c>
      <c r="Q3">
        <v>14.5</v>
      </c>
      <c r="R3">
        <v>10.7</v>
      </c>
      <c r="S3">
        <v>7.07</v>
      </c>
      <c r="T3">
        <v>4.51</v>
      </c>
    </row>
    <row r="4" spans="1:20" x14ac:dyDescent="0.35">
      <c r="P4">
        <v>3</v>
      </c>
      <c r="Q4">
        <v>36.1</v>
      </c>
      <c r="R4">
        <v>28.4</v>
      </c>
      <c r="S4">
        <v>19</v>
      </c>
      <c r="T4">
        <v>8.6300000000000008</v>
      </c>
    </row>
    <row r="5" spans="1:20" x14ac:dyDescent="0.35">
      <c r="P5">
        <v>5</v>
      </c>
      <c r="Q5">
        <v>76</v>
      </c>
      <c r="R5">
        <v>53.9</v>
      </c>
      <c r="S5">
        <v>29.4</v>
      </c>
      <c r="T5">
        <v>9.52</v>
      </c>
    </row>
    <row r="6" spans="1:20" x14ac:dyDescent="0.35">
      <c r="P6">
        <v>10</v>
      </c>
      <c r="Q6">
        <v>179</v>
      </c>
      <c r="R6">
        <v>122</v>
      </c>
      <c r="S6">
        <v>49.3</v>
      </c>
      <c r="T6">
        <v>9.4700000000000006</v>
      </c>
    </row>
    <row r="7" spans="1:20" x14ac:dyDescent="0.35">
      <c r="P7">
        <v>25</v>
      </c>
      <c r="Q7">
        <v>210</v>
      </c>
      <c r="R7">
        <v>146</v>
      </c>
      <c r="S7">
        <v>65.8</v>
      </c>
      <c r="T7">
        <v>26.8</v>
      </c>
    </row>
    <row r="8" spans="1:20" x14ac:dyDescent="0.35">
      <c r="P8">
        <v>100</v>
      </c>
      <c r="Q8">
        <v>185</v>
      </c>
      <c r="R8">
        <v>127</v>
      </c>
      <c r="S8">
        <v>57.1</v>
      </c>
      <c r="T8">
        <v>24</v>
      </c>
    </row>
    <row r="9" spans="1:20" x14ac:dyDescent="0.35">
      <c r="P9">
        <v>200</v>
      </c>
      <c r="Q9">
        <v>197</v>
      </c>
      <c r="R9">
        <v>137</v>
      </c>
      <c r="S9">
        <v>61.6</v>
      </c>
      <c r="T9">
        <v>25.1</v>
      </c>
    </row>
    <row r="10" spans="1:20" x14ac:dyDescent="0.35">
      <c r="A10">
        <v>1</v>
      </c>
      <c r="B10" s="2">
        <v>18.7</v>
      </c>
      <c r="C10">
        <v>13.1</v>
      </c>
      <c r="D10">
        <v>8.4700000000000006</v>
      </c>
      <c r="E10">
        <v>5.32</v>
      </c>
    </row>
    <row r="11" spans="1:20" x14ac:dyDescent="0.35">
      <c r="A11">
        <v>5</v>
      </c>
      <c r="B11">
        <v>22.1</v>
      </c>
      <c r="C11">
        <v>18.100000000000001</v>
      </c>
      <c r="D11">
        <v>12.5</v>
      </c>
      <c r="E11">
        <v>7.07</v>
      </c>
    </row>
    <row r="12" spans="1:20" x14ac:dyDescent="0.35">
      <c r="A12">
        <v>10</v>
      </c>
      <c r="B12">
        <v>22</v>
      </c>
      <c r="C12">
        <v>18</v>
      </c>
      <c r="D12">
        <v>12.5</v>
      </c>
      <c r="E12">
        <v>7.08</v>
      </c>
    </row>
    <row r="13" spans="1:20" x14ac:dyDescent="0.35">
      <c r="A13">
        <v>20</v>
      </c>
      <c r="B13">
        <v>21.8</v>
      </c>
      <c r="C13">
        <v>17.8</v>
      </c>
      <c r="D13">
        <v>11.3</v>
      </c>
      <c r="E13">
        <v>6.34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5BF2-B46B-4744-928C-CCEF8B3159EA}">
  <dimension ref="A1:G5"/>
  <sheetViews>
    <sheetView workbookViewId="0">
      <selection activeCell="B1" sqref="B1:E1"/>
    </sheetView>
  </sheetViews>
  <sheetFormatPr defaultRowHeight="14.5" x14ac:dyDescent="0.35"/>
  <sheetData>
    <row r="1" spans="1:7" x14ac:dyDescent="0.35">
      <c r="A1" t="s">
        <v>1</v>
      </c>
      <c r="B1" s="1">
        <v>0.95</v>
      </c>
      <c r="C1" s="1">
        <v>0.9</v>
      </c>
      <c r="D1" s="1">
        <v>0.75</v>
      </c>
      <c r="E1" s="1">
        <v>0.5</v>
      </c>
      <c r="G1" t="s">
        <v>2</v>
      </c>
    </row>
    <row r="2" spans="1:7" x14ac:dyDescent="0.35">
      <c r="A2">
        <v>1</v>
      </c>
      <c r="B2">
        <v>27.8</v>
      </c>
      <c r="C2">
        <v>17.8</v>
      </c>
      <c r="D2">
        <v>5.91</v>
      </c>
      <c r="E2">
        <v>3.91</v>
      </c>
      <c r="G2">
        <v>90</v>
      </c>
    </row>
    <row r="3" spans="1:7" x14ac:dyDescent="0.35">
      <c r="A3">
        <v>2</v>
      </c>
      <c r="B3">
        <v>22.2</v>
      </c>
      <c r="C3">
        <v>12.5</v>
      </c>
      <c r="D3">
        <v>4.96</v>
      </c>
      <c r="E3">
        <v>2.91</v>
      </c>
      <c r="G3">
        <v>122</v>
      </c>
    </row>
    <row r="4" spans="1:7" x14ac:dyDescent="0.35">
      <c r="A4">
        <v>4</v>
      </c>
      <c r="B4">
        <v>21.7</v>
      </c>
      <c r="C4">
        <v>11.3</v>
      </c>
      <c r="D4">
        <v>5.0199999999999996</v>
      </c>
      <c r="E4">
        <v>3.78</v>
      </c>
      <c r="G4">
        <v>160</v>
      </c>
    </row>
    <row r="5" spans="1:7" x14ac:dyDescent="0.35">
      <c r="A5">
        <v>8</v>
      </c>
      <c r="B5">
        <v>22.4</v>
      </c>
      <c r="C5">
        <v>9.31</v>
      </c>
      <c r="D5">
        <v>5.07</v>
      </c>
      <c r="E5">
        <v>3.7</v>
      </c>
      <c r="G5">
        <v>164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0CE2-075C-4317-AD4C-A5D92D8B933E}">
  <dimension ref="A1:H7"/>
  <sheetViews>
    <sheetView tabSelected="1" workbookViewId="0">
      <selection activeCell="J15" sqref="J15"/>
    </sheetView>
  </sheetViews>
  <sheetFormatPr defaultRowHeight="14.5" x14ac:dyDescent="0.35"/>
  <cols>
    <col min="1" max="1" width="7.453125" customWidth="1"/>
    <col min="2" max="2" width="10.453125" customWidth="1"/>
    <col min="3" max="3" width="17.453125" customWidth="1"/>
    <col min="4" max="7" width="7.36328125" customWidth="1"/>
  </cols>
  <sheetData>
    <row r="1" spans="1:8" x14ac:dyDescent="0.35">
      <c r="A1" t="s">
        <v>3</v>
      </c>
      <c r="B1" t="s">
        <v>4</v>
      </c>
      <c r="C1" t="s">
        <v>5</v>
      </c>
      <c r="D1" t="s">
        <v>2</v>
      </c>
      <c r="E1" s="1">
        <v>0.95</v>
      </c>
      <c r="F1" s="1">
        <v>0.9</v>
      </c>
      <c r="G1" s="1">
        <v>0.75</v>
      </c>
      <c r="H1" s="1">
        <v>0.5</v>
      </c>
    </row>
    <row r="2" spans="1:8" x14ac:dyDescent="0.35">
      <c r="A2">
        <v>35</v>
      </c>
      <c r="B2">
        <v>115</v>
      </c>
      <c r="C2">
        <f>A2/D2</f>
        <v>0.23333333333333334</v>
      </c>
      <c r="D2">
        <f>A2+B2</f>
        <v>150</v>
      </c>
      <c r="E2">
        <v>40.299999999999997</v>
      </c>
      <c r="F2">
        <v>33.4</v>
      </c>
      <c r="G2">
        <v>24.7</v>
      </c>
      <c r="H2">
        <v>16.8</v>
      </c>
    </row>
    <row r="3" spans="1:8" x14ac:dyDescent="0.35">
      <c r="A3">
        <v>50</v>
      </c>
      <c r="B3">
        <v>111</v>
      </c>
      <c r="C3">
        <f>A3/D3</f>
        <v>0.3105590062111801</v>
      </c>
      <c r="D3">
        <f>A3+B3</f>
        <v>161</v>
      </c>
      <c r="E3">
        <v>37.5</v>
      </c>
      <c r="F3">
        <v>31</v>
      </c>
      <c r="G3">
        <v>22</v>
      </c>
      <c r="H3">
        <v>14.1</v>
      </c>
    </row>
    <row r="4" spans="1:8" x14ac:dyDescent="0.35">
      <c r="A4">
        <v>94</v>
      </c>
      <c r="B4">
        <v>108</v>
      </c>
      <c r="C4">
        <f>A4/D4</f>
        <v>0.46534653465346537</v>
      </c>
      <c r="D4">
        <f>A4+B4</f>
        <v>202</v>
      </c>
      <c r="E4">
        <v>35.5</v>
      </c>
      <c r="F4">
        <v>28.6</v>
      </c>
      <c r="G4">
        <v>20.399999999999999</v>
      </c>
      <c r="H4">
        <v>11.8</v>
      </c>
    </row>
    <row r="5" spans="1:8" x14ac:dyDescent="0.35">
      <c r="A5">
        <v>124</v>
      </c>
      <c r="B5">
        <v>70</v>
      </c>
      <c r="C5">
        <f>A5/D5</f>
        <v>0.63917525773195871</v>
      </c>
      <c r="D5">
        <f>A5+B5</f>
        <v>194</v>
      </c>
      <c r="E5">
        <v>29</v>
      </c>
      <c r="F5">
        <v>23.4</v>
      </c>
      <c r="G5">
        <v>14.8</v>
      </c>
      <c r="H5">
        <v>7.35</v>
      </c>
    </row>
    <row r="6" spans="1:8" x14ac:dyDescent="0.35">
      <c r="A6">
        <v>140</v>
      </c>
      <c r="B6">
        <v>49</v>
      </c>
      <c r="C6">
        <f>A6/D6</f>
        <v>0.7407407407407407</v>
      </c>
      <c r="D6">
        <f>A6+B6</f>
        <v>189</v>
      </c>
      <c r="E6">
        <v>24.5</v>
      </c>
      <c r="F6">
        <v>18.2</v>
      </c>
      <c r="G6">
        <v>9.92</v>
      </c>
      <c r="H6">
        <v>5.82</v>
      </c>
    </row>
    <row r="7" spans="1:8" x14ac:dyDescent="0.35">
      <c r="A7">
        <v>191</v>
      </c>
      <c r="B7">
        <v>8</v>
      </c>
      <c r="C7">
        <f>A7/D7</f>
        <v>0.95979899497487442</v>
      </c>
      <c r="D7">
        <f>A7+B7</f>
        <v>199</v>
      </c>
      <c r="E7">
        <v>14</v>
      </c>
      <c r="F7">
        <v>10.9</v>
      </c>
      <c r="G7">
        <v>7.35</v>
      </c>
      <c r="H7">
        <v>5.07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Пронин</dc:creator>
  <cp:lastModifiedBy>Иван Пронин</cp:lastModifiedBy>
  <dcterms:created xsi:type="dcterms:W3CDTF">2015-06-05T18:19:34Z</dcterms:created>
  <dcterms:modified xsi:type="dcterms:W3CDTF">2025-05-09T15:42:23Z</dcterms:modified>
</cp:coreProperties>
</file>